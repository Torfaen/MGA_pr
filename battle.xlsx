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\Desktop\auto\MGA_pr\"/>
    </mc:Choice>
  </mc:AlternateContent>
  <xr:revisionPtr revIDLastSave="0" documentId="13_ncr:1_{715F8DEE-14EB-41EF-8629-A170210746F1}" xr6:coauthVersionLast="47" xr6:coauthVersionMax="47" xr10:uidLastSave="{00000000-0000-0000-0000-000000000000}"/>
  <bookViews>
    <workbookView xWindow="810" yWindow="-120" windowWidth="28110" windowHeight="16440" activeTab="1" xr2:uid="{00000000-000D-0000-FFFF-FFFF00000000}"/>
  </bookViews>
  <sheets>
    <sheet name="故事关卡" sheetId="1" r:id="rId1"/>
    <sheet name="故事顺序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2" i="2"/>
  <c r="B8" i="1"/>
  <c r="D2" i="2" a="1"/>
  <c r="D2" i="2" s="1"/>
  <c r="A2" i="2" s="1" a="1"/>
  <c r="A2" i="2" s="1"/>
  <c r="B9" i="2"/>
  <c r="B10" i="2"/>
  <c r="B11" i="2"/>
  <c r="B1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<sst xmlns="http://schemas.openxmlformats.org/spreadsheetml/2006/main" count="40" uniqueCount="38">
  <si>
    <t/>
  </si>
  <si>
    <t>SEED</t>
  </si>
  <si>
    <t>X</t>
  </si>
  <si>
    <t>W</t>
  </si>
  <si>
    <t>ZZ</t>
  </si>
  <si>
    <t>独角兽</t>
  </si>
  <si>
    <t>AGE</t>
  </si>
  <si>
    <t>EW</t>
  </si>
  <si>
    <t>雷霆宙域</t>
  </si>
  <si>
    <t>异端</t>
  </si>
  <si>
    <t>0083</t>
  </si>
  <si>
    <t>月钢</t>
  </si>
  <si>
    <t>苍蓝命运</t>
  </si>
  <si>
    <t>index</t>
  </si>
  <si>
    <t>HARD1</t>
  </si>
  <si>
    <t>HARD2</t>
  </si>
  <si>
    <t>HARD3</t>
  </si>
  <si>
    <t>HARD4</t>
  </si>
  <si>
    <t>HARD5</t>
  </si>
  <si>
    <t>关卡优先度</t>
    <phoneticPr fontId="1" type="noConversion"/>
  </si>
  <si>
    <t>高达</t>
    <phoneticPr fontId="1" type="noConversion"/>
  </si>
  <si>
    <t>G</t>
    <phoneticPr fontId="1" type="noConversion"/>
  </si>
  <si>
    <t>Z</t>
    <phoneticPr fontId="1" type="noConversion"/>
  </si>
  <si>
    <t>水星</t>
  </si>
  <si>
    <t>水星</t>
    <phoneticPr fontId="1" type="noConversion"/>
  </si>
  <si>
    <t>SEEDD</t>
    <phoneticPr fontId="1" type="noConversion"/>
  </si>
  <si>
    <t>SEEDR</t>
    <phoneticPr fontId="1" type="noConversion"/>
  </si>
  <si>
    <t>铁血</t>
    <phoneticPr fontId="1" type="noConversion"/>
  </si>
  <si>
    <t>逆袭</t>
    <phoneticPr fontId="1" type="noConversion"/>
  </si>
  <si>
    <t>哈撒韦</t>
    <phoneticPr fontId="1" type="noConversion"/>
  </si>
  <si>
    <t>总体力</t>
    <phoneticPr fontId="1" type="noConversion"/>
  </si>
  <si>
    <t>系列index</t>
    <phoneticPr fontId="1" type="noConversion"/>
  </si>
  <si>
    <t>系列名字</t>
    <phoneticPr fontId="1" type="noConversion"/>
  </si>
  <si>
    <t>X</t>
    <phoneticPr fontId="1" type="noConversion"/>
  </si>
  <si>
    <t>OO</t>
    <phoneticPr fontId="1" type="noConversion"/>
  </si>
  <si>
    <t>EW</t>
    <phoneticPr fontId="1" type="noConversion"/>
  </si>
  <si>
    <t>AGE</t>
    <phoneticPr fontId="1" type="noConversion"/>
  </si>
  <si>
    <r>
      <rPr>
        <sz val="11"/>
        <rFont val="宋体"/>
        <family val="3"/>
        <charset val="134"/>
      </rPr>
      <t>已选</t>
    </r>
    <r>
      <rPr>
        <sz val="11"/>
        <rFont val="Calibri"/>
        <family val="2"/>
      </rPr>
      <t>hard</t>
    </r>
    <r>
      <rPr>
        <sz val="11"/>
        <rFont val="宋体"/>
        <family val="3"/>
        <charset val="134"/>
      </rPr>
      <t>系列列表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</si>
</sst>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Calibri"/>
      <family val="2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quotePrefix="1" applyFont="1">
      <alignment vertical="center"/>
    </xf>
  </cellXfs>
  <cellStyles count="1">
    <cellStyle name="Normal" xfId="0" builtinId="0"/>
  </cellStyles>
  <dxfs count="22">
    <dxf>
      <fill>
        <patternFill>
          <bgColor theme="9" tint="0.79998168889431442"/>
        </patternFill>
      </fill>
    </dxf>
    <dxf>
      <fill>
        <patternFill>
          <bgColor rgb="FFEC8A88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EC8A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workbookViewId="0">
      <selection activeCell="H2" sqref="H2"/>
    </sheetView>
  </sheetViews>
  <sheetFormatPr defaultRowHeight="15" x14ac:dyDescent="0.25"/>
  <cols>
    <col min="2" max="2" width="5.42578125" customWidth="1"/>
    <col min="3" max="3" width="5.28515625" customWidth="1"/>
    <col min="4" max="4" width="3.140625" customWidth="1"/>
    <col min="5" max="5" width="3.28515625" customWidth="1"/>
    <col min="6" max="6" width="4.140625" customWidth="1"/>
    <col min="7" max="7" width="3.7109375" customWidth="1"/>
    <col min="8" max="8" width="4.28515625" customWidth="1"/>
    <col min="9" max="9" width="5.28515625" customWidth="1"/>
    <col min="10" max="11" width="6.140625" customWidth="1"/>
    <col min="12" max="12" width="5.140625" customWidth="1"/>
    <col min="13" max="13" width="3.140625" customWidth="1"/>
    <col min="14" max="14" width="5.5703125" customWidth="1"/>
    <col min="15" max="16" width="7.28515625" customWidth="1"/>
    <col min="17" max="17" width="4.28515625" customWidth="1"/>
    <col min="18" max="18" width="4.85546875" customWidth="1"/>
    <col min="20" max="22" width="6" customWidth="1"/>
    <col min="23" max="23" width="9.28515625" customWidth="1"/>
  </cols>
  <sheetData>
    <row r="1" spans="1:23" ht="16.5" x14ac:dyDescent="0.25">
      <c r="A1" t="s">
        <v>0</v>
      </c>
      <c r="B1" s="2" t="s">
        <v>20</v>
      </c>
      <c r="C1" t="s">
        <v>1</v>
      </c>
      <c r="D1" t="s">
        <v>2</v>
      </c>
      <c r="E1" t="s">
        <v>3</v>
      </c>
      <c r="F1" s="3" t="s">
        <v>21</v>
      </c>
      <c r="G1" s="3" t="s">
        <v>22</v>
      </c>
      <c r="H1" s="3" t="s">
        <v>34</v>
      </c>
      <c r="I1" s="2" t="s">
        <v>24</v>
      </c>
      <c r="J1" s="3" t="s">
        <v>25</v>
      </c>
      <c r="K1" s="3" t="s">
        <v>26</v>
      </c>
      <c r="L1" s="2" t="s">
        <v>27</v>
      </c>
      <c r="M1" t="s">
        <v>4</v>
      </c>
      <c r="N1" s="2" t="s">
        <v>28</v>
      </c>
      <c r="O1" t="s">
        <v>5</v>
      </c>
      <c r="P1" s="2" t="s">
        <v>29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</row>
    <row r="2" spans="1:23" x14ac:dyDescent="0.25">
      <c r="A2" t="s">
        <v>13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</row>
    <row r="3" spans="1:23" x14ac:dyDescent="0.25">
      <c r="A3" t="s">
        <v>14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1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25">
      <c r="A4" t="s">
        <v>15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25">
      <c r="A5" t="s">
        <v>16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25">
      <c r="A6" t="s">
        <v>17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2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25">
      <c r="A8" s="1" t="s">
        <v>30</v>
      </c>
      <c r="B8">
        <f>COUNTIF(B3:Z7,1)*30</f>
        <v>630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tabSelected="1" workbookViewId="0">
      <selection activeCell="D12" sqref="D12"/>
    </sheetView>
  </sheetViews>
  <sheetFormatPr defaultRowHeight="15" x14ac:dyDescent="0.25"/>
  <cols>
    <col min="1" max="1" width="11.140625" customWidth="1"/>
    <col min="2" max="2" width="10.85546875" customWidth="1"/>
    <col min="3" max="3" width="19.140625" customWidth="1"/>
    <col min="4" max="4" width="21.5703125" customWidth="1"/>
  </cols>
  <sheetData>
    <row r="1" spans="1:4" x14ac:dyDescent="0.25">
      <c r="A1" s="1" t="s">
        <v>19</v>
      </c>
      <c r="B1" s="1" t="s">
        <v>31</v>
      </c>
      <c r="C1" s="1" t="s">
        <v>32</v>
      </c>
      <c r="D1" t="s">
        <v>37</v>
      </c>
    </row>
    <row r="2" spans="1:4" x14ac:dyDescent="0.25">
      <c r="A2" cm="1">
        <f t="array" ref="A2:A7">_xlfn.SEQUENCE(COUNTA(D2:D100))</f>
        <v>1</v>
      </c>
      <c r="B2">
        <f>IF(C2="","", _xlfn.XLOOKUP(C2, 故事关卡!$B$1:$X$1, 故事关卡!$B$2:$X$2, ""))</f>
        <v>6</v>
      </c>
      <c r="C2" s="4" t="s">
        <v>34</v>
      </c>
      <c r="D2" t="str" cm="1">
        <f t="array" ref="D2:D7">TRANSPOSE(_xlfn._xlws.FILTER(故事关卡!B1:X1, _xlfn.BYCOL(故事关卡!B3:X7, _xlfn.LAMBDA(_xlpm.x, COUNTIF(_xlpm.x,1)&gt;0))))</f>
        <v>X</v>
      </c>
    </row>
    <row r="3" spans="1:4" x14ac:dyDescent="0.25">
      <c r="A3">
        <v>2</v>
      </c>
      <c r="B3">
        <f>IF(C3="","", _xlfn.XLOOKUP(C3, 故事关卡!$B$1:$X$1, 故事关卡!$B$2:$X$2, ""))</f>
        <v>8</v>
      </c>
      <c r="C3" s="3" t="s">
        <v>25</v>
      </c>
      <c r="D3" t="str">
        <v>OO</v>
      </c>
    </row>
    <row r="4" spans="1:4" x14ac:dyDescent="0.25">
      <c r="A4">
        <v>3</v>
      </c>
      <c r="B4">
        <f>IF(C4="","", _xlfn.XLOOKUP(C4, 故事关卡!$B$1:$X$1, 故事关卡!$B$2:$X$2, ""))</f>
        <v>2</v>
      </c>
      <c r="C4" s="3" t="s">
        <v>33</v>
      </c>
      <c r="D4" t="str">
        <v>水星</v>
      </c>
    </row>
    <row r="5" spans="1:4" x14ac:dyDescent="0.25">
      <c r="A5">
        <v>4</v>
      </c>
      <c r="B5">
        <f>IF(C5="","", _xlfn.XLOOKUP(C5, 故事关卡!$B$1:$X$1, 故事关卡!$B$2:$X$2, ""))</f>
        <v>16</v>
      </c>
      <c r="C5" s="3" t="s">
        <v>35</v>
      </c>
      <c r="D5" t="str">
        <v>SEEDD</v>
      </c>
    </row>
    <row r="6" spans="1:4" x14ac:dyDescent="0.25">
      <c r="A6">
        <v>5</v>
      </c>
      <c r="B6">
        <f>IF(C6="","", _xlfn.XLOOKUP(C6, 故事关卡!$B$1:$X$1, 故事关卡!$B$2:$X$2, ""))</f>
        <v>7</v>
      </c>
      <c r="C6" s="3" t="s">
        <v>23</v>
      </c>
      <c r="D6" t="str">
        <v>AGE</v>
      </c>
    </row>
    <row r="7" spans="1:4" x14ac:dyDescent="0.25">
      <c r="A7">
        <v>6</v>
      </c>
      <c r="B7">
        <f>IF(C7="","", _xlfn.XLOOKUP(C7, 故事关卡!$B$1:$X$1, 故事关卡!$B$2:$X$2, ""))</f>
        <v>15</v>
      </c>
      <c r="C7" s="3" t="s">
        <v>36</v>
      </c>
      <c r="D7" t="str">
        <v>EW</v>
      </c>
    </row>
    <row r="8" spans="1:4" x14ac:dyDescent="0.25">
      <c r="C8" s="3"/>
    </row>
    <row r="9" spans="1:4" x14ac:dyDescent="0.25">
      <c r="B9" t="str">
        <f t="shared" ref="B3:B12" si="0">IF(C9="","",_xlfn.XLOOKUP(C9,$D$2:$D$20,$A$2:$A$20,""))</f>
        <v/>
      </c>
      <c r="C9" s="3"/>
    </row>
    <row r="10" spans="1:4" x14ac:dyDescent="0.25">
      <c r="B10" t="str">
        <f t="shared" si="0"/>
        <v/>
      </c>
    </row>
    <row r="11" spans="1:4" x14ac:dyDescent="0.25">
      <c r="B11" t="str">
        <f t="shared" si="0"/>
        <v/>
      </c>
    </row>
    <row r="12" spans="1:4" x14ac:dyDescent="0.25">
      <c r="B12" t="str">
        <f t="shared" si="0"/>
        <v/>
      </c>
    </row>
  </sheetData>
  <phoneticPr fontId="1" type="noConversion"/>
  <conditionalFormatting sqref="D1:D1048576">
    <cfRule type="expression" dxfId="2" priority="3">
      <formula>COUNTIF($B:$B,D2)&gt;0</formula>
    </cfRule>
  </conditionalFormatting>
  <conditionalFormatting sqref="D2:D1048576">
    <cfRule type="expression" dxfId="1" priority="1">
      <formula>AND(D2&lt;&gt;"", COUNTIF($C$2:$C$1000, D2)=0)</formula>
    </cfRule>
    <cfRule type="expression" dxfId="0" priority="2">
      <formula>COUNTIF($C$2:$C$100, D2)&gt;0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故事关卡</vt:lpstr>
      <vt:lpstr>故事顺序表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1 1</cp:lastModifiedBy>
  <dcterms:modified xsi:type="dcterms:W3CDTF">2026-04-12T23:33:34Z</dcterms:modified>
</cp:coreProperties>
</file>